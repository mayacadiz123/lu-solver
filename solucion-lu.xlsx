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APTOP\Desktop\CLASES\Universidad\METODOS NUMERICOS\"/>
    </mc:Choice>
  </mc:AlternateContent>
  <bookViews>
    <workbookView xWindow="0" yWindow="0" windowWidth="12276" windowHeight="2784"/>
  </bookViews>
  <sheets>
    <sheet name="Hoja1" sheetId="5" r:id="rId1"/>
    <sheet name="DESAFIO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5" l="1"/>
  <c r="R4" i="5"/>
  <c r="R3" i="5"/>
  <c r="P4" i="5"/>
  <c r="P3" i="5"/>
  <c r="P2" i="5"/>
  <c r="N4" i="5"/>
  <c r="I4" i="5"/>
  <c r="N3" i="5"/>
  <c r="M3" i="5"/>
  <c r="H4" i="5"/>
  <c r="H3" i="5"/>
  <c r="N2" i="5"/>
  <c r="M2" i="5"/>
  <c r="L2" i="5"/>
</calcChain>
</file>

<file path=xl/sharedStrings.xml><?xml version="1.0" encoding="utf-8"?>
<sst xmlns="http://schemas.openxmlformats.org/spreadsheetml/2006/main" count="10" uniqueCount="10">
  <si>
    <t>MATRIZ A</t>
  </si>
  <si>
    <t>MATRIZ B</t>
  </si>
  <si>
    <t>L</t>
  </si>
  <si>
    <t>U</t>
  </si>
  <si>
    <t>Ly=B</t>
  </si>
  <si>
    <t>Ux = y</t>
  </si>
  <si>
    <t>x1=</t>
  </si>
  <si>
    <t>x2=</t>
  </si>
  <si>
    <t>x3=</t>
  </si>
  <si>
    <t>SOLUCION 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</si>
</sst>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0" fillId="2" borderId="1" xfId="0" applyFont="1" applyFill="1" applyBorder="1"/>
    <xf numFmtId="0" fontId="1" fillId="0" borderId="2" xfId="0" applyFont="1" applyBorder="1" applyAlignment="1">
      <alignment horizontal="left" vertical="center" indent="1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121920</xdr:rowOff>
    </xdr:to>
    <xdr:sp macro="" textlink="">
      <xdr:nvSpPr>
        <xdr:cNvPr id="4097" name="AutoShape 1" descr="blob:https://web.telegram.org/562cc895-1c53-471c-8f21-5ceee1c3a372"/>
        <xdr:cNvSpPr>
          <a:spLocks noChangeAspect="1" noChangeArrowheads="1"/>
        </xdr:cNvSpPr>
      </xdr:nvSpPr>
      <xdr:spPr bwMode="auto">
        <a:xfrm>
          <a:off x="79248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121920</xdr:rowOff>
    </xdr:to>
    <xdr:sp macro="" textlink="">
      <xdr:nvSpPr>
        <xdr:cNvPr id="4098" name="AutoShape 2" descr="blob:https://web.telegram.org/562cc895-1c53-471c-8f21-5ceee1c3a372"/>
        <xdr:cNvSpPr>
          <a:spLocks noChangeAspect="1" noChangeArrowheads="1"/>
        </xdr:cNvSpPr>
      </xdr:nvSpPr>
      <xdr:spPr bwMode="auto">
        <a:xfrm>
          <a:off x="79248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121920</xdr:rowOff>
    </xdr:to>
    <xdr:sp macro="" textlink="">
      <xdr:nvSpPr>
        <xdr:cNvPr id="4099" name="AutoShape 3" descr="blob:https://web.telegram.org/562cc895-1c53-471c-8f21-5ceee1c3a372"/>
        <xdr:cNvSpPr>
          <a:spLocks noChangeAspect="1" noChangeArrowheads="1"/>
        </xdr:cNvSpPr>
      </xdr:nvSpPr>
      <xdr:spPr bwMode="auto">
        <a:xfrm>
          <a:off x="79248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304800</xdr:colOff>
      <xdr:row>13</xdr:row>
      <xdr:rowOff>121920</xdr:rowOff>
    </xdr:to>
    <xdr:sp macro="" textlink="">
      <xdr:nvSpPr>
        <xdr:cNvPr id="4100" name="AutoShape 4" descr="blob:https://web.telegram.org/562cc895-1c53-471c-8f21-5ceee1c3a372"/>
        <xdr:cNvSpPr>
          <a:spLocks noChangeAspect="1" noChangeArrowheads="1"/>
        </xdr:cNvSpPr>
      </xdr:nvSpPr>
      <xdr:spPr bwMode="auto">
        <a:xfrm>
          <a:off x="316992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83127</xdr:rowOff>
    </xdr:from>
    <xdr:to>
      <xdr:col>8</xdr:col>
      <xdr:colOff>692727</xdr:colOff>
      <xdr:row>14</xdr:row>
      <xdr:rowOff>125846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63782"/>
          <a:ext cx="7010400" cy="1663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1</xdr:row>
      <xdr:rowOff>114300</xdr:rowOff>
    </xdr:from>
    <xdr:to>
      <xdr:col>9</xdr:col>
      <xdr:colOff>477005</xdr:colOff>
      <xdr:row>22</xdr:row>
      <xdr:rowOff>162490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B5CACA55-2EBC-B033-4772-EE7489DD4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4050" y="304800"/>
          <a:ext cx="5410955" cy="40486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7</xdr:col>
      <xdr:colOff>29004</xdr:colOff>
      <xdr:row>52</xdr:row>
      <xdr:rowOff>115034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75D62728-9239-686F-70CB-395B25E2A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0" y="4762500"/>
          <a:ext cx="3077004" cy="525853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11</xdr:col>
      <xdr:colOff>686215</xdr:colOff>
      <xdr:row>52</xdr:row>
      <xdr:rowOff>19771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4F13412C-F154-6D3A-E467-8F46A411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4762500"/>
          <a:ext cx="2972215" cy="5163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zoomScale="55" zoomScaleNormal="55" workbookViewId="0">
      <selection activeCell="L23" sqref="L23"/>
    </sheetView>
  </sheetViews>
  <sheetFormatPr baseColWidth="10" defaultRowHeight="14.4" x14ac:dyDescent="0.3"/>
  <sheetData>
    <row r="1" spans="1:18" ht="28.8" x14ac:dyDescent="0.3">
      <c r="A1" s="8" t="s">
        <v>9</v>
      </c>
      <c r="H1" s="1" t="s">
        <v>2</v>
      </c>
      <c r="L1" s="1" t="s">
        <v>3</v>
      </c>
      <c r="P1" s="1" t="s">
        <v>4</v>
      </c>
      <c r="R1" s="1" t="s">
        <v>5</v>
      </c>
    </row>
    <row r="2" spans="1:18" x14ac:dyDescent="0.3">
      <c r="A2" s="2" t="s">
        <v>0</v>
      </c>
      <c r="B2" s="4">
        <v>8</v>
      </c>
      <c r="C2" s="4">
        <v>4</v>
      </c>
      <c r="D2" s="4">
        <v>-1</v>
      </c>
      <c r="E2" s="5" t="s">
        <v>1</v>
      </c>
      <c r="F2" s="6">
        <v>11</v>
      </c>
      <c r="H2" s="7">
        <v>1</v>
      </c>
      <c r="I2" s="7">
        <v>0</v>
      </c>
      <c r="J2" s="7">
        <v>0</v>
      </c>
      <c r="L2" s="7">
        <f>B2</f>
        <v>8</v>
      </c>
      <c r="M2" s="7">
        <f>C2</f>
        <v>4</v>
      </c>
      <c r="N2" s="7">
        <f>D2</f>
        <v>-1</v>
      </c>
      <c r="P2" s="3">
        <f>F2</f>
        <v>11</v>
      </c>
      <c r="Q2" s="9" t="s">
        <v>6</v>
      </c>
      <c r="R2" s="3">
        <f>(P2 - M2*R3 - N2*R4)/L2</f>
        <v>1</v>
      </c>
    </row>
    <row r="3" spans="1:18" x14ac:dyDescent="0.3">
      <c r="B3" s="4">
        <v>-2</v>
      </c>
      <c r="C3" s="4">
        <v>5</v>
      </c>
      <c r="D3" s="4">
        <v>1</v>
      </c>
      <c r="F3" s="6">
        <v>4</v>
      </c>
      <c r="H3" s="7">
        <f>B3/L2</f>
        <v>-0.25</v>
      </c>
      <c r="I3" s="7">
        <v>1</v>
      </c>
      <c r="J3" s="7">
        <v>0</v>
      </c>
      <c r="L3" s="7">
        <v>0</v>
      </c>
      <c r="M3" s="7">
        <f>C3 - H3*M2</f>
        <v>6</v>
      </c>
      <c r="N3" s="7">
        <f>D3 - H3*N2</f>
        <v>0.75</v>
      </c>
      <c r="P3" s="3">
        <f>F3 - H3*P2</f>
        <v>6.75</v>
      </c>
      <c r="Q3" s="9" t="s">
        <v>7</v>
      </c>
      <c r="R3" s="3">
        <f>(P3 - N3*R4)/M3</f>
        <v>1</v>
      </c>
    </row>
    <row r="4" spans="1:18" x14ac:dyDescent="0.3">
      <c r="B4" s="4">
        <v>2</v>
      </c>
      <c r="C4" s="4">
        <v>-1</v>
      </c>
      <c r="D4" s="4">
        <v>6</v>
      </c>
      <c r="F4" s="6">
        <v>7</v>
      </c>
      <c r="H4" s="7">
        <f>B4/L2</f>
        <v>0.25</v>
      </c>
      <c r="I4" s="7">
        <f>(C4 - H4*M2)/M3</f>
        <v>-0.33333333333333331</v>
      </c>
      <c r="J4" s="7">
        <v>1</v>
      </c>
      <c r="L4" s="7">
        <v>0</v>
      </c>
      <c r="M4" s="7">
        <v>0</v>
      </c>
      <c r="N4" s="7">
        <f>D4 - H4*N2 - I4*N3</f>
        <v>6.5</v>
      </c>
      <c r="P4" s="3">
        <f>F4 - H4*P2 - I4*P3</f>
        <v>6.5</v>
      </c>
      <c r="Q4" s="9" t="s">
        <v>8</v>
      </c>
      <c r="R4" s="3">
        <f>P4/N4</f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26"/>
  <sheetViews>
    <sheetView topLeftCell="A2" workbookViewId="0">
      <selection activeCell="J26" sqref="J26"/>
    </sheetView>
  </sheetViews>
  <sheetFormatPr baseColWidth="10" defaultRowHeight="14.4" x14ac:dyDescent="0.3"/>
  <sheetData>
    <row r="26" spans="10:10" x14ac:dyDescent="0.3">
      <c r="J26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DESAFIO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LAPTOP</cp:lastModifiedBy>
  <dcterms:created xsi:type="dcterms:W3CDTF">2022-09-20T14:34:01Z</dcterms:created>
  <dcterms:modified xsi:type="dcterms:W3CDTF">2026-03-26T15:55:13Z</dcterms:modified>
</cp:coreProperties>
</file>